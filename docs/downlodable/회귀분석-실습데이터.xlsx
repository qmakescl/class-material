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데이터" sheetId="1" state="visible" r:id="rId3"/>
    <sheet name="예측과잔차" sheetId="2" state="visible" r:id="rId4"/>
    <sheet name="진단용 A-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<sst xmlns="http://schemas.openxmlformats.org/spreadsheetml/2006/main" count="53" uniqueCount="50">
  <si>
    <t xml:space="preserve">회귀분석 ① 단순 선형회귀 — 실습용 데이터</t>
  </si>
  <si>
    <r>
      <rPr>
        <sz val="9"/>
        <color rgb="FF666666"/>
        <rFont val="Noto Sans CJK SC"/>
        <family val="2"/>
      </rPr>
      <t xml:space="preserve">설명을 위해 만든 예시 데이터입니다</t>
    </r>
    <r>
      <rPr>
        <sz val="9"/>
        <color rgb="FF666666"/>
        <rFont val="Arial"/>
        <family val="0"/>
        <charset val="1"/>
      </rPr>
      <t xml:space="preserve">. </t>
    </r>
    <r>
      <rPr>
        <sz val="9"/>
        <color rgb="FF666666"/>
        <rFont val="Noto Sans CJK SC"/>
        <family val="2"/>
      </rPr>
      <t xml:space="preserve">실제 기업 자료가 아닙니다</t>
    </r>
    <r>
      <rPr>
        <sz val="9"/>
        <color rgb="FF666666"/>
        <rFont val="Arial"/>
        <family val="0"/>
        <charset val="1"/>
      </rPr>
      <t xml:space="preserve">. (</t>
    </r>
    <r>
      <rPr>
        <sz val="9"/>
        <color rgb="FF666666"/>
        <rFont val="Noto Sans CJK SC"/>
        <family val="2"/>
      </rPr>
      <t xml:space="preserve">출처</t>
    </r>
    <r>
      <rPr>
        <sz val="9"/>
        <color rgb="FF666666"/>
        <rFont val="Arial"/>
        <family val="0"/>
        <charset val="1"/>
      </rPr>
      <t xml:space="preserve">: </t>
    </r>
    <r>
      <rPr>
        <sz val="9"/>
        <color rgb="FF666666"/>
        <rFont val="Noto Sans CJK SC"/>
        <family val="2"/>
      </rPr>
      <t xml:space="preserve">수업 자료용 생성</t>
    </r>
    <r>
      <rPr>
        <sz val="9"/>
        <color rgb="FF666666"/>
        <rFont val="Arial"/>
        <family val="0"/>
        <charset val="1"/>
      </rPr>
      <t xml:space="preserve">)</t>
    </r>
  </si>
  <si>
    <r>
      <rPr>
        <sz val="9"/>
        <color rgb="FF666666"/>
        <rFont val="Noto Sans CJK SC"/>
        <family val="2"/>
      </rPr>
      <t xml:space="preserve">사용법 ① </t>
    </r>
    <r>
      <rPr>
        <sz val="9"/>
        <color rgb="FF666666"/>
        <rFont val="Arial"/>
        <family val="0"/>
        <charset val="1"/>
      </rPr>
      <t xml:space="preserve">B6:C13</t>
    </r>
    <r>
      <rPr>
        <sz val="9"/>
        <color rgb="FF666666"/>
        <rFont val="Noto Sans CJK SC"/>
        <family val="2"/>
      </rPr>
      <t xml:space="preserve">을 선택 → 삽입 </t>
    </r>
    <r>
      <rPr>
        <sz val="9"/>
        <color rgb="FF666666"/>
        <rFont val="Arial"/>
        <family val="0"/>
        <charset val="1"/>
      </rPr>
      <t xml:space="preserve">&gt; </t>
    </r>
    <r>
      <rPr>
        <sz val="9"/>
        <color rgb="FF666666"/>
        <rFont val="Noto Sans CJK SC"/>
        <family val="2"/>
      </rPr>
      <t xml:space="preserve">분산형</t>
    </r>
    <r>
      <rPr>
        <sz val="9"/>
        <color rgb="FF666666"/>
        <rFont val="Arial"/>
        <family val="0"/>
        <charset val="1"/>
      </rPr>
      <t xml:space="preserve">(XY) </t>
    </r>
    <r>
      <rPr>
        <sz val="9"/>
        <color rgb="FF666666"/>
        <rFont val="Noto Sans CJK SC"/>
        <family val="2"/>
      </rPr>
      <t xml:space="preserve">차트</t>
    </r>
  </si>
  <si>
    <r>
      <rPr>
        <sz val="9"/>
        <color rgb="FF666666"/>
        <rFont val="Noto Sans CJK SC"/>
        <family val="2"/>
      </rPr>
      <t xml:space="preserve">사용법 ② 점 하나를 우클릭 </t>
    </r>
    <r>
      <rPr>
        <sz val="9"/>
        <color rgb="FF666666"/>
        <rFont val="Arial"/>
        <family val="0"/>
        <charset val="1"/>
      </rPr>
      <t xml:space="preserve">&gt; </t>
    </r>
    <r>
      <rPr>
        <sz val="9"/>
        <color rgb="FF666666"/>
        <rFont val="Noto Sans CJK SC"/>
        <family val="2"/>
      </rPr>
      <t xml:space="preserve">추세선 추가 </t>
    </r>
    <r>
      <rPr>
        <sz val="9"/>
        <color rgb="FF666666"/>
        <rFont val="Arial"/>
        <family val="0"/>
        <charset val="1"/>
      </rPr>
      <t xml:space="preserve">&gt; </t>
    </r>
    <r>
      <rPr>
        <sz val="9"/>
        <color rgb="FF666666"/>
        <rFont val="Noto Sans CJK SC"/>
        <family val="2"/>
      </rPr>
      <t xml:space="preserve">선형 → </t>
    </r>
    <r>
      <rPr>
        <sz val="9"/>
        <color rgb="FF666666"/>
        <rFont val="Arial"/>
        <family val="0"/>
        <charset val="1"/>
      </rPr>
      <t xml:space="preserve">'</t>
    </r>
    <r>
      <rPr>
        <sz val="9"/>
        <color rgb="FF666666"/>
        <rFont val="Noto Sans CJK SC"/>
        <family val="2"/>
      </rPr>
      <t xml:space="preserve">수식을 차트에 표시</t>
    </r>
    <r>
      <rPr>
        <sz val="9"/>
        <color rgb="FF666666"/>
        <rFont val="Arial"/>
        <family val="0"/>
        <charset val="1"/>
      </rPr>
      <t xml:space="preserve">', 'R-</t>
    </r>
    <r>
      <rPr>
        <sz val="9"/>
        <color rgb="FF666666"/>
        <rFont val="Noto Sans CJK SC"/>
        <family val="2"/>
      </rPr>
      <t xml:space="preserve">제곱 값을 차트에 표시</t>
    </r>
    <r>
      <rPr>
        <sz val="9"/>
        <color rgb="FF666666"/>
        <rFont val="Arial"/>
        <family val="0"/>
        <charset val="1"/>
      </rPr>
      <t xml:space="preserve">' </t>
    </r>
    <r>
      <rPr>
        <sz val="9"/>
        <color rgb="FF666666"/>
        <rFont val="Noto Sans CJK SC"/>
        <family val="2"/>
      </rPr>
      <t xml:space="preserve">체크</t>
    </r>
  </si>
  <si>
    <t xml:space="preserve">시장</t>
  </si>
  <si>
    <r>
      <rPr>
        <b val="true"/>
        <sz val="11"/>
        <rFont val="Noto Sans CJK SC"/>
        <family val="2"/>
      </rPr>
      <t xml:space="preserve">광고비 </t>
    </r>
    <r>
      <rPr>
        <b val="true"/>
        <sz val="11"/>
        <rFont val="Arial"/>
        <family val="0"/>
        <charset val="1"/>
      </rPr>
      <t xml:space="preserve">x (</t>
    </r>
    <r>
      <rPr>
        <b val="true"/>
        <sz val="11"/>
        <rFont val="Noto Sans CJK SC"/>
        <family val="2"/>
      </rPr>
      <t xml:space="preserve">만원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</si>
  <si>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매출 </t>
    </r>
    <r>
      <rPr>
        <b val="true"/>
        <sz val="11"/>
        <rFont val="Arial"/>
        <family val="0"/>
        <charset val="1"/>
      </rPr>
      <t xml:space="preserve">y (</t>
    </r>
    <r>
      <rPr>
        <b val="true"/>
        <sz val="11"/>
        <rFont val="Noto Sans CJK SC"/>
        <family val="2"/>
      </rPr>
      <t xml:space="preserve">백만원</t>
    </r>
    <r>
      <rPr>
        <b val="true"/>
        <sz val="11"/>
        <rFont val="Arial"/>
        <family val="0"/>
        <charset val="1"/>
      </rPr>
      <t xml:space="preserve">)</t>
    </r>
  </si>
  <si>
    <t xml:space="preserve">엑셀 함수로 같은 값을 직접 확인해 보기</t>
  </si>
  <si>
    <r>
      <rPr>
        <sz val="11"/>
        <rFont val="Noto Sans CJK SC"/>
        <family val="2"/>
      </rPr>
      <t xml:space="preserve">기울기 </t>
    </r>
    <r>
      <rPr>
        <sz val="11"/>
        <rFont val="Arial"/>
        <family val="0"/>
        <charset val="1"/>
      </rPr>
      <t xml:space="preserve">β₁</t>
    </r>
  </si>
  <si>
    <t xml:space="preserve">차트의 추세선 수식에 나오는 기울기와 같은 값</t>
  </si>
  <si>
    <r>
      <rPr>
        <sz val="11"/>
        <rFont val="Noto Sans CJK SC"/>
        <family val="2"/>
      </rPr>
      <t xml:space="preserve">절편 </t>
    </r>
    <r>
      <rPr>
        <sz val="11"/>
        <rFont val="Arial"/>
        <family val="0"/>
        <charset val="1"/>
      </rPr>
      <t xml:space="preserve">β₀</t>
    </r>
  </si>
  <si>
    <t xml:space="preserve">차트의 추세선 수식에 나오는 상수항과 같은 값</t>
  </si>
  <si>
    <t xml:space="preserve">R²</t>
  </si>
  <si>
    <r>
      <rPr>
        <sz val="9"/>
        <color rgb="FF666666"/>
        <rFont val="Noto Sans CJK SC"/>
        <family val="2"/>
      </rPr>
      <t xml:space="preserve">차트에 표시되는 </t>
    </r>
    <r>
      <rPr>
        <sz val="9"/>
        <color rgb="FF666666"/>
        <rFont val="Arial"/>
        <family val="0"/>
        <charset val="1"/>
      </rPr>
      <t xml:space="preserve">R² </t>
    </r>
    <r>
      <rPr>
        <sz val="9"/>
        <color rgb="FF666666"/>
        <rFont val="Noto Sans CJK SC"/>
        <family val="2"/>
      </rPr>
      <t xml:space="preserve">와 같은 값</t>
    </r>
  </si>
  <si>
    <r>
      <rPr>
        <sz val="11"/>
        <rFont val="Arial"/>
        <family val="0"/>
        <charset val="1"/>
      </rPr>
      <t xml:space="preserve">RSE (</t>
    </r>
    <r>
      <rPr>
        <sz val="11"/>
        <rFont val="Noto Sans CJK SC"/>
        <family val="2"/>
      </rPr>
      <t xml:space="preserve">표준오차</t>
    </r>
    <r>
      <rPr>
        <sz val="11"/>
        <rFont val="Arial"/>
        <family val="0"/>
        <charset val="1"/>
      </rPr>
      <t xml:space="preserve">)</t>
    </r>
  </si>
  <si>
    <r>
      <rPr>
        <sz val="9"/>
        <color rgb="FF666666"/>
        <rFont val="Noto Sans CJK SC"/>
        <family val="2"/>
      </rPr>
      <t xml:space="preserve">예측이 평균적으로 빗나가는 폭 </t>
    </r>
    <r>
      <rPr>
        <sz val="9"/>
        <color rgb="FF666666"/>
        <rFont val="Arial"/>
        <family val="0"/>
        <charset val="1"/>
      </rPr>
      <t xml:space="preserve">(y</t>
    </r>
    <r>
      <rPr>
        <sz val="9"/>
        <color rgb="FF666666"/>
        <rFont val="Noto Sans CJK SC"/>
        <family val="2"/>
      </rPr>
      <t xml:space="preserve">의 단위</t>
    </r>
    <r>
      <rPr>
        <sz val="9"/>
        <color rgb="FF666666"/>
        <rFont val="Arial"/>
        <family val="0"/>
        <charset val="1"/>
      </rPr>
      <t xml:space="preserve">)</t>
    </r>
  </si>
  <si>
    <t xml:space="preserve">SE(β₁)</t>
  </si>
  <si>
    <t xml:space="preserve">기울기 추정값이 표본마다 흔들리는 폭 — 추세선은 알려주지 않는 값</t>
  </si>
  <si>
    <t xml:space="preserve">예측값과 잔차 — 추세선을 그린 다음 단계</t>
  </si>
  <si>
    <r>
      <rPr>
        <sz val="9"/>
        <color rgb="FF666666"/>
        <rFont val="Noto Sans CJK SC"/>
        <family val="2"/>
      </rPr>
      <t xml:space="preserve">추세선이 고른 그 직선이 왜 그 직선인지를 숫자로 확인하는 시트입니다</t>
    </r>
    <r>
      <rPr>
        <sz val="9"/>
        <color rgb="FF666666"/>
        <rFont val="Arial"/>
        <family val="0"/>
        <charset val="1"/>
      </rPr>
      <t xml:space="preserve">.</t>
    </r>
  </si>
  <si>
    <r>
      <rPr>
        <b val="true"/>
        <sz val="11"/>
        <rFont val="Noto Sans CJK SC"/>
        <family val="2"/>
      </rPr>
      <t xml:space="preserve">기울기 </t>
    </r>
    <r>
      <rPr>
        <b val="true"/>
        <sz val="11"/>
        <rFont val="Arial"/>
        <family val="0"/>
        <charset val="1"/>
      </rPr>
      <t xml:space="preserve">β₁</t>
    </r>
  </si>
  <si>
    <r>
      <rPr>
        <b val="true"/>
        <sz val="11"/>
        <rFont val="Noto Sans CJK SC"/>
        <family val="2"/>
      </rPr>
      <t xml:space="preserve">절편 </t>
    </r>
    <r>
      <rPr>
        <b val="true"/>
        <sz val="11"/>
        <rFont val="Arial"/>
        <family val="0"/>
        <charset val="1"/>
      </rPr>
      <t xml:space="preserve">β₀</t>
    </r>
  </si>
  <si>
    <t xml:space="preserve">x</t>
  </si>
  <si>
    <r>
      <rPr>
        <b val="true"/>
        <sz val="11"/>
        <rFont val="Arial"/>
        <family val="0"/>
        <charset val="1"/>
      </rPr>
      <t xml:space="preserve">y (</t>
    </r>
    <r>
      <rPr>
        <b val="true"/>
        <sz val="11"/>
        <rFont val="Noto Sans CJK SC"/>
        <family val="2"/>
      </rPr>
      <t xml:space="preserve">실측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</si>
  <si>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rFont val="Arial"/>
        <family val="0"/>
        <charset val="1"/>
      </rPr>
      <t xml:space="preserve">ŷ (</t>
    </r>
    <r>
      <rPr>
        <b val="true"/>
        <sz val="11"/>
        <rFont val="Noto Sans CJK SC"/>
        <family val="2"/>
      </rPr>
      <t xml:space="preserve">예측</t>
    </r>
    <r>
      <rPr>
        <b val="true"/>
        <sz val="11"/>
        <rFont val="Arial"/>
        <family val="0"/>
        <charset val="1"/>
      </rPr>
      <t xml:space="preserve">)</t>
    </r>
  </si>
  <si>
    <t xml:space="preserve">e = y − ŷ</t>
  </si>
  <si>
    <t xml:space="preserve">e²</t>
  </si>
  <si>
    <t xml:space="preserve">합계</t>
  </si>
  <si>
    <r>
      <rPr>
        <sz val="9"/>
        <color rgb="FF666666"/>
        <rFont val="Noto Sans CJK SC"/>
        <family val="2"/>
      </rPr>
      <t xml:space="preserve">← 잔차의 합은 </t>
    </r>
    <r>
      <rPr>
        <sz val="9"/>
        <color rgb="FF666666"/>
        <rFont val="Arial"/>
        <family val="0"/>
        <charset val="1"/>
      </rPr>
      <t xml:space="preserve">0, </t>
    </r>
    <r>
      <rPr>
        <sz val="9"/>
        <color rgb="FF666666"/>
        <rFont val="Noto Sans CJK SC"/>
        <family val="2"/>
      </rPr>
      <t xml:space="preserve">잔차 제곱의 합</t>
    </r>
    <r>
      <rPr>
        <sz val="9"/>
        <color rgb="FF666666"/>
        <rFont val="Arial"/>
        <family val="0"/>
        <charset val="1"/>
      </rPr>
      <t xml:space="preserve">(RSS)</t>
    </r>
    <r>
      <rPr>
        <sz val="9"/>
        <color rgb="FF666666"/>
        <rFont val="Noto Sans CJK SC"/>
        <family val="2"/>
      </rPr>
      <t xml:space="preserve">은 최소</t>
    </r>
  </si>
  <si>
    <r>
      <rPr>
        <sz val="11"/>
        <rFont val="Arial"/>
        <family val="0"/>
        <charset val="1"/>
      </rPr>
      <t xml:space="preserve">Σ|e| (</t>
    </r>
    <r>
      <rPr>
        <sz val="11"/>
        <rFont val="Noto Sans CJK SC"/>
        <family val="2"/>
      </rPr>
      <t xml:space="preserve">절댓값의 합</t>
    </r>
    <r>
      <rPr>
        <sz val="11"/>
        <rFont val="Arial"/>
        <family val="0"/>
        <charset val="1"/>
      </rPr>
      <t xml:space="preserve">)</t>
    </r>
  </si>
  <si>
    <r>
      <rPr>
        <sz val="9"/>
        <color rgb="FF666666"/>
        <rFont val="Noto Sans CJK SC"/>
        <family val="2"/>
      </rPr>
      <t xml:space="preserve">제곱 대신 절댓값을 더하면 이 값</t>
    </r>
    <r>
      <rPr>
        <sz val="9"/>
        <color rgb="FF666666"/>
        <rFont val="Arial"/>
        <family val="0"/>
        <charset val="1"/>
      </rPr>
      <t xml:space="preserve">. </t>
    </r>
    <r>
      <rPr>
        <sz val="9"/>
        <color rgb="FF666666"/>
        <rFont val="Noto Sans CJK SC"/>
        <family val="2"/>
      </rPr>
      <t xml:space="preserve">최소제곱은 이 값을 최소화하지 않는다</t>
    </r>
  </si>
  <si>
    <r>
      <rPr>
        <sz val="11"/>
        <rFont val="Arial"/>
        <family val="0"/>
        <charset val="1"/>
      </rPr>
      <t xml:space="preserve">RSS (</t>
    </r>
    <r>
      <rPr>
        <sz val="11"/>
        <rFont val="Noto Sans CJK SC"/>
        <family val="2"/>
      </rPr>
      <t xml:space="preserve">제곱의 합</t>
    </r>
    <r>
      <rPr>
        <sz val="11"/>
        <rFont val="Arial"/>
        <family val="0"/>
        <charset val="1"/>
      </rPr>
      <t xml:space="preserve">)</t>
    </r>
  </si>
  <si>
    <t xml:space="preserve">최소제곱이 최소로 만드는 값</t>
  </si>
  <si>
    <r>
      <rPr>
        <sz val="11"/>
        <rFont val="Arial"/>
        <family val="0"/>
        <charset val="1"/>
      </rPr>
      <t xml:space="preserve">TSS (ȳ </t>
    </r>
    <r>
      <rPr>
        <sz val="11"/>
        <rFont val="Noto Sans CJK SC"/>
        <family val="2"/>
      </rPr>
      <t xml:space="preserve">기준 총변동</t>
    </r>
    <r>
      <rPr>
        <sz val="11"/>
        <rFont val="Arial"/>
        <family val="0"/>
        <charset val="1"/>
      </rPr>
      <t xml:space="preserve">)</t>
    </r>
  </si>
  <si>
    <r>
      <rPr>
        <sz val="9"/>
        <color rgb="FF666666"/>
        <rFont val="Arial"/>
        <family val="0"/>
        <charset val="1"/>
      </rPr>
      <t xml:space="preserve">x</t>
    </r>
    <r>
      <rPr>
        <sz val="9"/>
        <color rgb="FF666666"/>
        <rFont val="Noto Sans CJK SC"/>
        <family val="2"/>
      </rPr>
      <t xml:space="preserve">를 전혀 쓰지 않고 </t>
    </r>
    <r>
      <rPr>
        <sz val="9"/>
        <color rgb="FF666666"/>
        <rFont val="Arial"/>
        <family val="0"/>
        <charset val="1"/>
      </rPr>
      <t xml:space="preserve">ȳ</t>
    </r>
    <r>
      <rPr>
        <sz val="9"/>
        <color rgb="FF666666"/>
        <rFont val="Noto Sans CJK SC"/>
        <family val="2"/>
      </rPr>
      <t xml:space="preserve">만 썼을 때 남는 변동</t>
    </r>
  </si>
  <si>
    <t xml:space="preserve">R² = 1 − RSS/TSS</t>
  </si>
  <si>
    <r>
      <rPr>
        <sz val="9"/>
        <color rgb="FF666666"/>
        <rFont val="Noto Sans CJK SC"/>
        <family val="2"/>
      </rPr>
      <t xml:space="preserve">추세선에 표시되는 </t>
    </r>
    <r>
      <rPr>
        <sz val="9"/>
        <color rgb="FF666666"/>
        <rFont val="Arial"/>
        <family val="0"/>
        <charset val="1"/>
      </rPr>
      <t xml:space="preserve">R²</t>
    </r>
    <r>
      <rPr>
        <sz val="9"/>
        <color rgb="FF666666"/>
        <rFont val="Noto Sans CJK SC"/>
        <family val="2"/>
      </rPr>
      <t xml:space="preserve">와 일치하는지 확인</t>
    </r>
  </si>
  <si>
    <t xml:space="preserve">RSE = √(RSS/(n−2))</t>
  </si>
  <si>
    <r>
      <rPr>
        <sz val="9"/>
        <color rgb="FF666666"/>
        <rFont val="Noto Sans CJK SC"/>
        <family val="2"/>
      </rPr>
      <t xml:space="preserve">같은 정보를 </t>
    </r>
    <r>
      <rPr>
        <sz val="9"/>
        <color rgb="FF666666"/>
        <rFont val="Arial"/>
        <family val="0"/>
        <charset val="1"/>
      </rPr>
      <t xml:space="preserve">y</t>
    </r>
    <r>
      <rPr>
        <sz val="9"/>
        <color rgb="FF666666"/>
        <rFont val="Noto Sans CJK SC"/>
        <family val="2"/>
      </rPr>
      <t xml:space="preserve">의 단위로 말한 것</t>
    </r>
  </si>
  <si>
    <t xml:space="preserve">잔차 그림 읽기 연습 — 네 가지 데이터</t>
  </si>
  <si>
    <r>
      <rPr>
        <sz val="9"/>
        <color rgb="FF666666"/>
        <rFont val="Arial"/>
        <family val="0"/>
        <charset val="1"/>
      </rPr>
      <t xml:space="preserve">x</t>
    </r>
    <r>
      <rPr>
        <sz val="9"/>
        <color rgb="FF666666"/>
        <rFont val="Noto Sans CJK SC"/>
        <family val="2"/>
      </rPr>
      <t xml:space="preserve">는 공통입니다</t>
    </r>
    <r>
      <rPr>
        <sz val="9"/>
        <color rgb="FF666666"/>
        <rFont val="Arial"/>
        <family val="0"/>
        <charset val="1"/>
      </rPr>
      <t xml:space="preserve">. A~D </t>
    </r>
    <r>
      <rPr>
        <sz val="9"/>
        <color rgb="FF666666"/>
        <rFont val="Noto Sans CJK SC"/>
        <family val="2"/>
      </rPr>
      <t xml:space="preserve">각각에 대해 산점도 </t>
    </r>
    <r>
      <rPr>
        <sz val="9"/>
        <color rgb="FF666666"/>
        <rFont val="Arial"/>
        <family val="0"/>
        <charset val="1"/>
      </rPr>
      <t xml:space="preserve">+ </t>
    </r>
    <r>
      <rPr>
        <sz val="9"/>
        <color rgb="FF666666"/>
        <rFont val="Noto Sans CJK SC"/>
        <family val="2"/>
      </rPr>
      <t xml:space="preserve">선형 추세선을 그리고</t>
    </r>
    <r>
      <rPr>
        <sz val="9"/>
        <color rgb="FF666666"/>
        <rFont val="Arial"/>
        <family val="0"/>
        <charset val="1"/>
      </rPr>
      <t xml:space="preserve">, </t>
    </r>
    <r>
      <rPr>
        <sz val="9"/>
        <color rgb="FF666666"/>
        <rFont val="Noto Sans CJK SC"/>
        <family val="2"/>
      </rPr>
      <t xml:space="preserve">잔차</t>
    </r>
    <r>
      <rPr>
        <sz val="9"/>
        <color rgb="FF666666"/>
        <rFont val="Arial"/>
        <family val="0"/>
        <charset val="1"/>
      </rPr>
      <t xml:space="preserve">(=y−ŷ)</t>
    </r>
    <r>
      <rPr>
        <sz val="9"/>
        <color rgb="FF666666"/>
        <rFont val="Noto Sans CJK SC"/>
        <family val="2"/>
      </rPr>
      <t xml:space="preserve">를 예측값에 대해 다시 그려 보세요</t>
    </r>
    <r>
      <rPr>
        <sz val="9"/>
        <color rgb="FF666666"/>
        <rFont val="Arial"/>
        <family val="0"/>
        <charset val="1"/>
      </rPr>
      <t xml:space="preserve">.</t>
    </r>
  </si>
  <si>
    <r>
      <rPr>
        <sz val="9"/>
        <color rgb="FF666666"/>
        <rFont val="Noto Sans CJK SC"/>
        <family val="2"/>
      </rPr>
      <t xml:space="preserve">네 경우 모두 </t>
    </r>
    <r>
      <rPr>
        <sz val="9"/>
        <color rgb="FF666666"/>
        <rFont val="Arial"/>
        <family val="0"/>
        <charset val="1"/>
      </rPr>
      <t xml:space="preserve">R²</t>
    </r>
    <r>
      <rPr>
        <sz val="9"/>
        <color rgb="FF666666"/>
        <rFont val="Noto Sans CJK SC"/>
        <family val="2"/>
      </rPr>
      <t xml:space="preserve">는 높게 나옵니다</t>
    </r>
    <r>
      <rPr>
        <sz val="9"/>
        <color rgb="FF666666"/>
        <rFont val="Arial"/>
        <family val="0"/>
        <charset val="1"/>
      </rPr>
      <t xml:space="preserve">. </t>
    </r>
    <r>
      <rPr>
        <sz val="9"/>
        <color rgb="FF666666"/>
        <rFont val="Noto Sans CJK SC"/>
        <family val="2"/>
      </rPr>
      <t xml:space="preserve">그래도 세 개는 직선 모형이 적절하지 않습니다</t>
    </r>
    <r>
      <rPr>
        <sz val="9"/>
        <color rgb="FF666666"/>
        <rFont val="Arial"/>
        <family val="0"/>
        <charset val="1"/>
      </rPr>
      <t xml:space="preserve">. </t>
    </r>
    <r>
      <rPr>
        <sz val="9"/>
        <color rgb="FF666666"/>
        <rFont val="Noto Sans CJK SC"/>
        <family val="2"/>
      </rPr>
      <t xml:space="preserve">설명용으로 만든 예시 데이터입니다</t>
    </r>
    <r>
      <rPr>
        <sz val="9"/>
        <color rgb="FF666666"/>
        <rFont val="Arial"/>
        <family val="0"/>
        <charset val="1"/>
      </rPr>
      <t xml:space="preserve">.</t>
    </r>
  </si>
  <si>
    <t xml:space="preserve">A</t>
  </si>
  <si>
    <t xml:space="preserve">B</t>
  </si>
  <si>
    <t xml:space="preserve">C</t>
  </si>
  <si>
    <t xml:space="preserve">D</t>
  </si>
  <si>
    <t xml:space="preserve">← A</t>
  </si>
  <si>
    <t xml:space="preserve">← B</t>
  </si>
  <si>
    <t xml:space="preserve">← C</t>
  </si>
  <si>
    <t xml:space="preserve">← 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</si>
</sst>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"/>
    <numFmt numFmtId="167" formatCode="0.0000"/>
    <numFmt numFmtId="168" formatCode="0.00000"/>
    <numFmt numFmtId="169" formatCode="0.00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sz val="9"/>
      <color rgb="FF666666"/>
      <name val="Noto Sans CJK SC"/>
      <family val="2"/>
    </font>
    <font>
      <sz val="9"/>
      <color rgb="FF666666"/>
      <name val="Arial"/>
      <family val="0"/>
      <charset val="1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E8EEE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EE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6" customFormat="false" ht="17.15" hidden="false" customHeight="false" outlineLevel="0" collapsed="false">
      <c r="A6" s="3" t="s">
        <v>4</v>
      </c>
      <c r="B6" s="3" t="s">
        <v>5</v>
      </c>
      <c r="C6" s="3" t="s">
        <v>6</v>
      </c>
    </row>
    <row r="7" customFormat="false" ht="15" hidden="false" customHeight="false" outlineLevel="0" collapsed="false">
      <c r="A7" s="4" t="n">
        <v>1</v>
      </c>
      <c r="B7" s="5" t="n">
        <v>10</v>
      </c>
      <c r="C7" s="6" t="n">
        <v>6.1</v>
      </c>
    </row>
    <row r="8" customFormat="false" ht="15" hidden="false" customHeight="false" outlineLevel="0" collapsed="false">
      <c r="A8" s="4" t="n">
        <v>2</v>
      </c>
      <c r="B8" s="5" t="n">
        <v>20</v>
      </c>
      <c r="C8" s="6" t="n">
        <v>7.4</v>
      </c>
    </row>
    <row r="9" customFormat="false" ht="15" hidden="false" customHeight="false" outlineLevel="0" collapsed="false">
      <c r="A9" s="4" t="n">
        <v>3</v>
      </c>
      <c r="B9" s="5" t="n">
        <v>30</v>
      </c>
      <c r="C9" s="6" t="n">
        <v>7.6</v>
      </c>
    </row>
    <row r="10" customFormat="false" ht="15" hidden="false" customHeight="false" outlineLevel="0" collapsed="false">
      <c r="A10" s="4" t="n">
        <v>4</v>
      </c>
      <c r="B10" s="5" t="n">
        <v>40</v>
      </c>
      <c r="C10" s="6" t="n">
        <v>9.3</v>
      </c>
    </row>
    <row r="11" customFormat="false" ht="15" hidden="false" customHeight="false" outlineLevel="0" collapsed="false">
      <c r="A11" s="4" t="n">
        <v>5</v>
      </c>
      <c r="B11" s="5" t="n">
        <v>55</v>
      </c>
      <c r="C11" s="6" t="n">
        <v>10</v>
      </c>
    </row>
    <row r="12" customFormat="false" ht="15" hidden="false" customHeight="false" outlineLevel="0" collapsed="false">
      <c r="A12" s="4" t="n">
        <v>6</v>
      </c>
      <c r="B12" s="5" t="n">
        <v>70</v>
      </c>
      <c r="C12" s="6" t="n">
        <v>11.9</v>
      </c>
    </row>
    <row r="13" customFormat="false" ht="15" hidden="false" customHeight="false" outlineLevel="0" collapsed="false">
      <c r="A13" s="4" t="n">
        <v>7</v>
      </c>
      <c r="B13" s="5" t="n">
        <v>85</v>
      </c>
      <c r="C13" s="6" t="n">
        <v>12.3</v>
      </c>
    </row>
    <row r="14" customFormat="false" ht="15" hidden="false" customHeight="false" outlineLevel="0" collapsed="false">
      <c r="A14" s="4" t="n">
        <v>8</v>
      </c>
      <c r="B14" s="5" t="n">
        <v>100</v>
      </c>
      <c r="C14" s="6" t="n">
        <v>14.4</v>
      </c>
    </row>
    <row r="16" customFormat="false" ht="15" hidden="false" customHeight="false" outlineLevel="0" collapsed="false">
      <c r="A16" s="7" t="s">
        <v>7</v>
      </c>
    </row>
    <row r="17" customFormat="false" ht="17.15" hidden="false" customHeight="false" outlineLevel="0" collapsed="false">
      <c r="A17" s="8" t="s">
        <v>8</v>
      </c>
      <c r="B17" s="9" t="n">
        <f aca="false">SLOPE(C7:C14,B7:B14)</f>
        <v>0.0880910683012259</v>
      </c>
      <c r="C17" s="2" t="s">
        <v>9</v>
      </c>
    </row>
    <row r="18" customFormat="false" ht="17.15" hidden="false" customHeight="false" outlineLevel="0" collapsed="false">
      <c r="A18" s="8" t="s">
        <v>10</v>
      </c>
      <c r="B18" s="9" t="n">
        <f aca="false">INTERCEPT(C7:C14,B7:B14)</f>
        <v>5.36033274956217</v>
      </c>
      <c r="C18" s="2" t="s">
        <v>11</v>
      </c>
    </row>
    <row r="19" customFormat="false" ht="15" hidden="false" customHeight="false" outlineLevel="0" collapsed="false">
      <c r="A19" s="10" t="s">
        <v>12</v>
      </c>
      <c r="B19" s="9" t="n">
        <f aca="false">RSQ(C7:C14,B7:B14)</f>
        <v>0.982827773833658</v>
      </c>
      <c r="C19" s="2" t="s">
        <v>13</v>
      </c>
    </row>
    <row r="20" customFormat="false" ht="17.15" hidden="false" customHeight="false" outlineLevel="0" collapsed="false">
      <c r="A20" s="10" t="s">
        <v>14</v>
      </c>
      <c r="B20" s="9" t="n">
        <f aca="false">STEYX(C7:C14,B7:B14)</f>
        <v>0.401609430003041</v>
      </c>
      <c r="C20" s="2" t="s">
        <v>15</v>
      </c>
    </row>
    <row r="21" customFormat="false" ht="15" hidden="false" customHeight="false" outlineLevel="0" collapsed="false">
      <c r="A21" s="10" t="s">
        <v>16</v>
      </c>
      <c r="B21" s="11" t="n">
        <f aca="false">STEYX(C7:C14,B7:B14)/SQRT(DEVSQ(B7:B14))</f>
        <v>0.00475368982714069</v>
      </c>
      <c r="C21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50"/>
  </cols>
  <sheetData>
    <row r="1" customFormat="false" ht="17.35" hidden="false" customHeight="false" outlineLevel="0" collapsed="false">
      <c r="A1" s="1" t="s">
        <v>18</v>
      </c>
    </row>
    <row r="2" customFormat="false" ht="15" hidden="false" customHeight="false" outlineLevel="0" collapsed="false">
      <c r="A2" s="2" t="s">
        <v>19</v>
      </c>
    </row>
    <row r="4" customFormat="false" ht="17.15" hidden="false" customHeight="false" outlineLevel="0" collapsed="false">
      <c r="A4" s="7" t="s">
        <v>20</v>
      </c>
      <c r="B4" s="12" t="n">
        <f aca="false">SLOPE(데이터!C7:C14,데이터!B7:B14)</f>
        <v>0.0880910683012259</v>
      </c>
    </row>
    <row r="5" customFormat="false" ht="17.15" hidden="false" customHeight="false" outlineLevel="0" collapsed="false">
      <c r="A5" s="7" t="s">
        <v>21</v>
      </c>
      <c r="B5" s="12" t="n">
        <f aca="false">INTERCEPT(데이터!C7:C14,데이터!B7:B14)</f>
        <v>5.36033274956217</v>
      </c>
    </row>
    <row r="7" customFormat="false" ht="17.15" hidden="false" customHeight="false" outlineLevel="0" collapsed="false">
      <c r="A7" s="3" t="s">
        <v>4</v>
      </c>
      <c r="B7" s="13" t="s">
        <v>22</v>
      </c>
      <c r="C7" s="13" t="s">
        <v>23</v>
      </c>
      <c r="D7" s="13" t="s">
        <v>24</v>
      </c>
      <c r="E7" s="13" t="s">
        <v>25</v>
      </c>
      <c r="F7" s="13" t="s">
        <v>26</v>
      </c>
    </row>
    <row r="8" customFormat="false" ht="15" hidden="false" customHeight="false" outlineLevel="0" collapsed="false">
      <c r="A8" s="4" t="n">
        <f aca="false">데이터!A7</f>
        <v>1</v>
      </c>
      <c r="B8" s="5" t="n">
        <f aca="false">데이터!B7</f>
        <v>10</v>
      </c>
      <c r="C8" s="14" t="n">
        <f aca="false">데이터!C7</f>
        <v>6.1</v>
      </c>
      <c r="D8" s="14" t="n">
        <f aca="false">$B$5+$B$4*B8</f>
        <v>6.24124343257443</v>
      </c>
      <c r="E8" s="14" t="n">
        <f aca="false">C8-D8</f>
        <v>-0.14124343257443</v>
      </c>
      <c r="F8" s="14" t="n">
        <f aca="false">E8^2</f>
        <v>0.0199497072454075</v>
      </c>
    </row>
    <row r="9" customFormat="false" ht="15" hidden="false" customHeight="false" outlineLevel="0" collapsed="false">
      <c r="A9" s="4" t="n">
        <f aca="false">데이터!A8</f>
        <v>2</v>
      </c>
      <c r="B9" s="5" t="n">
        <f aca="false">데이터!B8</f>
        <v>20</v>
      </c>
      <c r="C9" s="14" t="n">
        <f aca="false">데이터!C8</f>
        <v>7.4</v>
      </c>
      <c r="D9" s="14" t="n">
        <f aca="false">$B$5+$B$4*B9</f>
        <v>7.12215411558669</v>
      </c>
      <c r="E9" s="14" t="n">
        <f aca="false">C9-D9</f>
        <v>0.277845884413312</v>
      </c>
      <c r="F9" s="14" t="n">
        <f aca="false">E9^2</f>
        <v>0.0771983354854153</v>
      </c>
    </row>
    <row r="10" customFormat="false" ht="15" hidden="false" customHeight="false" outlineLevel="0" collapsed="false">
      <c r="A10" s="4" t="n">
        <f aca="false">데이터!A9</f>
        <v>3</v>
      </c>
      <c r="B10" s="5" t="n">
        <f aca="false">데이터!B9</f>
        <v>30</v>
      </c>
      <c r="C10" s="14" t="n">
        <f aca="false">데이터!C9</f>
        <v>7.6</v>
      </c>
      <c r="D10" s="14" t="n">
        <f aca="false">$B$5+$B$4*B10</f>
        <v>8.00306479859895</v>
      </c>
      <c r="E10" s="14" t="n">
        <f aca="false">C10-D10</f>
        <v>-0.403064798598949</v>
      </c>
      <c r="F10" s="14" t="n">
        <f aca="false">E10^2</f>
        <v>0.162461231869612</v>
      </c>
    </row>
    <row r="11" customFormat="false" ht="15" hidden="false" customHeight="false" outlineLevel="0" collapsed="false">
      <c r="A11" s="4" t="n">
        <f aca="false">데이터!A10</f>
        <v>4</v>
      </c>
      <c r="B11" s="5" t="n">
        <f aca="false">데이터!B10</f>
        <v>40</v>
      </c>
      <c r="C11" s="14" t="n">
        <f aca="false">데이터!C10</f>
        <v>9.3</v>
      </c>
      <c r="D11" s="14" t="n">
        <f aca="false">$B$5+$B$4*B11</f>
        <v>8.88397548161121</v>
      </c>
      <c r="E11" s="14" t="n">
        <f aca="false">C11-D11</f>
        <v>0.416024518388793</v>
      </c>
      <c r="F11" s="14" t="n">
        <f aca="false">E11^2</f>
        <v>0.173076399900627</v>
      </c>
    </row>
    <row r="12" customFormat="false" ht="15" hidden="false" customHeight="false" outlineLevel="0" collapsed="false">
      <c r="A12" s="4" t="n">
        <f aca="false">데이터!A11</f>
        <v>5</v>
      </c>
      <c r="B12" s="5" t="n">
        <f aca="false">데이터!B11</f>
        <v>55</v>
      </c>
      <c r="C12" s="14" t="n">
        <f aca="false">데이터!C11</f>
        <v>10</v>
      </c>
      <c r="D12" s="14" t="n">
        <f aca="false">$B$5+$B$4*B12</f>
        <v>10.2053415061296</v>
      </c>
      <c r="E12" s="14" t="n">
        <f aca="false">C12-D12</f>
        <v>-0.205341506129596</v>
      </c>
      <c r="F12" s="14" t="n">
        <f aca="false">E12^2</f>
        <v>0.0421651341395708</v>
      </c>
    </row>
    <row r="13" customFormat="false" ht="15" hidden="false" customHeight="false" outlineLevel="0" collapsed="false">
      <c r="A13" s="4" t="n">
        <f aca="false">데이터!A12</f>
        <v>6</v>
      </c>
      <c r="B13" s="5" t="n">
        <f aca="false">데이터!B12</f>
        <v>70</v>
      </c>
      <c r="C13" s="14" t="n">
        <f aca="false">데이터!C12</f>
        <v>11.9</v>
      </c>
      <c r="D13" s="14" t="n">
        <f aca="false">$B$5+$B$4*B13</f>
        <v>11.526707530648</v>
      </c>
      <c r="E13" s="14" t="n">
        <f aca="false">C13-D13</f>
        <v>0.373292469352014</v>
      </c>
      <c r="F13" s="14" t="n">
        <f aca="false">E13^2</f>
        <v>0.139347267674925</v>
      </c>
    </row>
    <row r="14" customFormat="false" ht="15" hidden="false" customHeight="false" outlineLevel="0" collapsed="false">
      <c r="A14" s="4" t="n">
        <f aca="false">데이터!A13</f>
        <v>7</v>
      </c>
      <c r="B14" s="5" t="n">
        <f aca="false">데이터!B13</f>
        <v>85</v>
      </c>
      <c r="C14" s="14" t="n">
        <f aca="false">데이터!C13</f>
        <v>12.3</v>
      </c>
      <c r="D14" s="14" t="n">
        <f aca="false">$B$5+$B$4*B14</f>
        <v>12.8480735551664</v>
      </c>
      <c r="E14" s="14" t="n">
        <f aca="false">C14-D14</f>
        <v>-0.548073555166376</v>
      </c>
      <c r="F14" s="14" t="n">
        <f aca="false">E14^2</f>
        <v>0.30038462187271</v>
      </c>
    </row>
    <row r="15" customFormat="false" ht="15" hidden="false" customHeight="false" outlineLevel="0" collapsed="false">
      <c r="A15" s="4" t="n">
        <f aca="false">데이터!A14</f>
        <v>8</v>
      </c>
      <c r="B15" s="5" t="n">
        <f aca="false">데이터!B14</f>
        <v>100</v>
      </c>
      <c r="C15" s="14" t="n">
        <f aca="false">데이터!C14</f>
        <v>14.4</v>
      </c>
      <c r="D15" s="14" t="n">
        <f aca="false">$B$5+$B$4*B15</f>
        <v>14.1694395796848</v>
      </c>
      <c r="E15" s="14" t="n">
        <f aca="false">C15-D15</f>
        <v>0.230560420315236</v>
      </c>
      <c r="F15" s="14" t="n">
        <f aca="false">E15^2</f>
        <v>0.0531581074159381</v>
      </c>
    </row>
    <row r="17" customFormat="false" ht="15" hidden="false" customHeight="false" outlineLevel="0" collapsed="false">
      <c r="A17" s="7" t="s">
        <v>27</v>
      </c>
      <c r="E17" s="15" t="n">
        <f aca="false">SUM(E8:E15)</f>
        <v>4.44089209850063E-015</v>
      </c>
      <c r="F17" s="15" t="n">
        <f aca="false">SUM(F8:F15)</f>
        <v>0.967740805604205</v>
      </c>
      <c r="G17" s="2" t="s">
        <v>28</v>
      </c>
    </row>
    <row r="19" customFormat="false" ht="17.15" hidden="false" customHeight="false" outlineLevel="0" collapsed="false">
      <c r="A19" s="10" t="s">
        <v>29</v>
      </c>
      <c r="B19" s="14" t="n">
        <f aca="false">SUMPRODUCT(ABS(E8:E15))</f>
        <v>2.59544658493871</v>
      </c>
      <c r="C19" s="2" t="s">
        <v>30</v>
      </c>
    </row>
    <row r="20" customFormat="false" ht="17.15" hidden="false" customHeight="false" outlineLevel="0" collapsed="false">
      <c r="A20" s="10" t="s">
        <v>31</v>
      </c>
      <c r="B20" s="14" t="n">
        <f aca="false">F17</f>
        <v>0.967740805604205</v>
      </c>
      <c r="C20" s="2" t="s">
        <v>32</v>
      </c>
    </row>
    <row r="21" customFormat="false" ht="17.15" hidden="false" customHeight="false" outlineLevel="0" collapsed="false">
      <c r="A21" s="10" t="s">
        <v>33</v>
      </c>
      <c r="B21" s="14" t="n">
        <f aca="false">DEVSQ(C8:C15)</f>
        <v>56.355</v>
      </c>
      <c r="C21" s="16" t="s">
        <v>34</v>
      </c>
    </row>
    <row r="22" customFormat="false" ht="15" hidden="false" customHeight="false" outlineLevel="0" collapsed="false">
      <c r="A22" s="10" t="s">
        <v>35</v>
      </c>
      <c r="B22" s="9" t="n">
        <f aca="false">1-B20/B21</f>
        <v>0.982827773833658</v>
      </c>
      <c r="C22" s="2" t="s">
        <v>36</v>
      </c>
    </row>
    <row r="23" customFormat="false" ht="15" hidden="false" customHeight="false" outlineLevel="0" collapsed="false">
      <c r="A23" s="10" t="s">
        <v>37</v>
      </c>
      <c r="B23" s="9" t="n">
        <f aca="false">SQRT(B20/6)</f>
        <v>0.401609430003041</v>
      </c>
      <c r="C23" s="2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0"/>
    <col collapsed="false" customWidth="true" hidden="false" outlineLevel="0" max="6" min="6" style="0" width="4"/>
    <col collapsed="false" customWidth="true" hidden="false" outlineLevel="0" max="7" min="7" style="0" width="10"/>
    <col collapsed="false" customWidth="true" hidden="false" outlineLevel="0" max="8" min="8" style="0" width="8"/>
  </cols>
  <sheetData>
    <row r="1" customFormat="false" ht="17.35" hidden="false" customHeight="false" outlineLevel="0" collapsed="false">
      <c r="A1" s="1" t="s">
        <v>39</v>
      </c>
    </row>
    <row r="2" customFormat="false" ht="15" hidden="false" customHeight="false" outlineLevel="0" collapsed="false">
      <c r="A2" s="16" t="s">
        <v>40</v>
      </c>
    </row>
    <row r="3" customFormat="false" ht="15" hidden="false" customHeight="false" outlineLevel="0" collapsed="false">
      <c r="A3" s="2" t="s">
        <v>41</v>
      </c>
    </row>
    <row r="5" customFormat="false" ht="15" hidden="false" customHeight="false" outlineLevel="0" collapsed="false">
      <c r="A5" s="13" t="s">
        <v>22</v>
      </c>
      <c r="B5" s="13" t="s">
        <v>42</v>
      </c>
      <c r="C5" s="13" t="s">
        <v>43</v>
      </c>
      <c r="D5" s="13" t="s">
        <v>44</v>
      </c>
      <c r="E5" s="13" t="s">
        <v>45</v>
      </c>
      <c r="G5" s="17" t="s">
        <v>12</v>
      </c>
    </row>
    <row r="6" customFormat="false" ht="15" hidden="false" customHeight="false" outlineLevel="0" collapsed="false">
      <c r="A6" s="5" t="n">
        <v>12</v>
      </c>
      <c r="B6" s="18" t="n">
        <v>6.31</v>
      </c>
      <c r="C6" s="18" t="n">
        <v>8.57</v>
      </c>
      <c r="D6" s="18" t="n">
        <v>6.28</v>
      </c>
      <c r="E6" s="18" t="n">
        <v>6.31</v>
      </c>
      <c r="G6" s="19" t="n">
        <f aca="false">RSQ(B6:B19,$A$6:$A$19)</f>
        <v>0.952253681857089</v>
      </c>
      <c r="H6" s="16" t="s">
        <v>46</v>
      </c>
    </row>
    <row r="7" customFormat="false" ht="15" hidden="false" customHeight="false" outlineLevel="0" collapsed="false">
      <c r="A7" s="5" t="n">
        <v>18</v>
      </c>
      <c r="B7" s="18" t="n">
        <v>7.14</v>
      </c>
      <c r="C7" s="18" t="n">
        <v>10.13</v>
      </c>
      <c r="D7" s="18" t="n">
        <v>6.94</v>
      </c>
      <c r="E7" s="18" t="n">
        <v>7.14</v>
      </c>
      <c r="G7" s="19" t="n">
        <f aca="false">RSQ(C6:C19,$A$6:$A$19)</f>
        <v>0.910415611150378</v>
      </c>
      <c r="H7" s="16" t="s">
        <v>47</v>
      </c>
    </row>
    <row r="8" customFormat="false" ht="15" hidden="false" customHeight="false" outlineLevel="0" collapsed="false">
      <c r="A8" s="5" t="n">
        <v>25</v>
      </c>
      <c r="B8" s="18" t="n">
        <v>7.24</v>
      </c>
      <c r="C8" s="18" t="n">
        <v>10.21</v>
      </c>
      <c r="D8" s="18" t="n">
        <v>6.08</v>
      </c>
      <c r="E8" s="18" t="n">
        <v>7.24</v>
      </c>
      <c r="G8" s="19" t="n">
        <f aca="false">RSQ(D6:D19,$A$6:$A$19)</f>
        <v>0.872873838281592</v>
      </c>
      <c r="H8" s="16" t="s">
        <v>48</v>
      </c>
    </row>
    <row r="9" customFormat="false" ht="15" hidden="false" customHeight="false" outlineLevel="0" collapsed="false">
      <c r="A9" s="5" t="n">
        <v>31</v>
      </c>
      <c r="B9" s="18" t="n">
        <v>7.21</v>
      </c>
      <c r="C9" s="18" t="n">
        <v>11.27</v>
      </c>
      <c r="D9" s="18" t="n">
        <v>7.52</v>
      </c>
      <c r="E9" s="18" t="n">
        <v>7.21</v>
      </c>
      <c r="G9" s="19" t="n">
        <f aca="false">RSQ(E6:E19,$A$6:$A$19)</f>
        <v>0.721801794447487</v>
      </c>
      <c r="H9" s="16" t="s">
        <v>49</v>
      </c>
    </row>
    <row r="10" customFormat="false" ht="15" hidden="false" customHeight="false" outlineLevel="0" collapsed="false">
      <c r="A10" s="5" t="n">
        <v>38</v>
      </c>
      <c r="B10" s="18" t="n">
        <v>8.26</v>
      </c>
      <c r="C10" s="18" t="n">
        <v>11.24</v>
      </c>
      <c r="D10" s="18" t="n">
        <v>7.4</v>
      </c>
      <c r="E10" s="18" t="n">
        <v>8.26</v>
      </c>
    </row>
    <row r="11" customFormat="false" ht="15" hidden="false" customHeight="false" outlineLevel="0" collapsed="false">
      <c r="A11" s="5" t="n">
        <v>44</v>
      </c>
      <c r="B11" s="18" t="n">
        <v>8.31</v>
      </c>
      <c r="C11" s="18" t="n">
        <v>11.96</v>
      </c>
      <c r="D11" s="18" t="n">
        <v>8.03</v>
      </c>
      <c r="E11" s="18" t="n">
        <v>8.31</v>
      </c>
    </row>
    <row r="12" customFormat="false" ht="15" hidden="false" customHeight="false" outlineLevel="0" collapsed="false">
      <c r="A12" s="5" t="n">
        <v>52</v>
      </c>
      <c r="B12" s="18" t="n">
        <v>10.04</v>
      </c>
      <c r="C12" s="18" t="n">
        <v>12.22</v>
      </c>
      <c r="D12" s="18" t="n">
        <v>11.83</v>
      </c>
      <c r="E12" s="18" t="n">
        <v>10.04</v>
      </c>
    </row>
    <row r="13" customFormat="false" ht="15" hidden="false" customHeight="false" outlineLevel="0" collapsed="false">
      <c r="A13" s="5" t="n">
        <v>59</v>
      </c>
      <c r="B13" s="18" t="n">
        <v>11.9</v>
      </c>
      <c r="C13" s="18" t="n">
        <v>13.33</v>
      </c>
      <c r="D13" s="18" t="n">
        <v>9.05</v>
      </c>
      <c r="E13" s="18" t="n">
        <v>11.9</v>
      </c>
    </row>
    <row r="14" customFormat="false" ht="15" hidden="false" customHeight="false" outlineLevel="0" collapsed="false">
      <c r="A14" s="5" t="n">
        <v>66</v>
      </c>
      <c r="B14" s="18" t="n">
        <v>10.8</v>
      </c>
      <c r="C14" s="18" t="n">
        <v>13.21</v>
      </c>
      <c r="D14" s="18" t="n">
        <v>11.2</v>
      </c>
      <c r="E14" s="18" t="n">
        <v>10.8</v>
      </c>
    </row>
    <row r="15" customFormat="false" ht="15" hidden="false" customHeight="false" outlineLevel="0" collapsed="false">
      <c r="A15" s="5" t="n">
        <v>73</v>
      </c>
      <c r="B15" s="18" t="n">
        <v>11.33</v>
      </c>
      <c r="C15" s="18" t="n">
        <v>14.21</v>
      </c>
      <c r="D15" s="18" t="n">
        <v>14.01</v>
      </c>
      <c r="E15" s="18" t="n">
        <v>18.73</v>
      </c>
    </row>
    <row r="16" customFormat="false" ht="15" hidden="false" customHeight="false" outlineLevel="0" collapsed="false">
      <c r="A16" s="5" t="n">
        <v>81</v>
      </c>
      <c r="B16" s="18" t="n">
        <v>13.12</v>
      </c>
      <c r="C16" s="18" t="n">
        <v>14.47</v>
      </c>
      <c r="D16" s="18" t="n">
        <v>11.13</v>
      </c>
      <c r="E16" s="18" t="n">
        <v>13.12</v>
      </c>
    </row>
    <row r="17" customFormat="false" ht="15" hidden="false" customHeight="false" outlineLevel="0" collapsed="false">
      <c r="A17" s="5" t="n">
        <v>88</v>
      </c>
      <c r="B17" s="18" t="n">
        <v>13.64</v>
      </c>
      <c r="C17" s="18" t="n">
        <v>14.57</v>
      </c>
      <c r="D17" s="18" t="n">
        <v>12.98</v>
      </c>
      <c r="E17" s="18" t="n">
        <v>13.64</v>
      </c>
    </row>
    <row r="18" customFormat="false" ht="15" hidden="false" customHeight="false" outlineLevel="0" collapsed="false">
      <c r="A18" s="5" t="n">
        <v>96</v>
      </c>
      <c r="B18" s="18" t="n">
        <v>14.13</v>
      </c>
      <c r="C18" s="18" t="n">
        <v>13.79</v>
      </c>
      <c r="D18" s="18" t="n">
        <v>14.37</v>
      </c>
      <c r="E18" s="18" t="n">
        <v>14.13</v>
      </c>
    </row>
    <row r="19" customFormat="false" ht="15" hidden="false" customHeight="false" outlineLevel="0" collapsed="false">
      <c r="A19" s="5" t="n">
        <v>105</v>
      </c>
      <c r="B19" s="18" t="n">
        <v>13.98</v>
      </c>
      <c r="C19" s="18" t="n">
        <v>14.95</v>
      </c>
      <c r="D19" s="18" t="n">
        <v>15.07</v>
      </c>
      <c r="E19" s="18" t="n">
        <v>13.98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2026-09-20T15:21:14Z</dcterms:created>
  <dc:creator>openpyxl</dc:creator>
  <dc:description/>
  <dc:language>en-US</dc:language>
  <cp:lastModifiedBy/>
  <dcterms:modified xsi:type="dcterms:W3CDTF">2026-09-20T15:21:14Z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